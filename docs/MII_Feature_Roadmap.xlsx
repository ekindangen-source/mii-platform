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c02554eea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25ebd22115412d"/>
    <x:sheet xmlns:r="http://schemas.openxmlformats.org/officeDocument/2006/relationships" name="Releases" sheetId="2" r:id="R33ec2d51c69949b0"/>
    <x:sheet xmlns:r="http://schemas.openxmlformats.org/officeDocument/2006/relationships" name="Features" sheetId="3" r:id="R4cf5af0137e247f5"/>
    <x:sheet xmlns:r="http://schemas.openxmlformats.org/officeDocument/2006/relationships" name="Version_Guide" sheetId="4" r:id="R85284d454507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F2937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8">
    <x:border/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6c6a8051a4907" /><Relationship Type="http://schemas.openxmlformats.org/officeDocument/2006/relationships/theme" Target="/xl/theme/theme1.xml" Id="R0381c802f7364d36" /><Relationship Type="http://schemas.openxmlformats.org/officeDocument/2006/relationships/sharedStrings" Target="/xl/sharedStrings.xml" Id="R25025dcb3f764c47" /><Relationship Type="http://schemas.openxmlformats.org/officeDocument/2006/relationships/worksheet" Target="/xl/worksheets/sheet1.xml" Id="R9625ebd22115412d" /><Relationship Type="http://schemas.openxmlformats.org/officeDocument/2006/relationships/worksheet" Target="/xl/worksheets/sheet2.xml" Id="R33ec2d51c69949b0" /><Relationship Type="http://schemas.openxmlformats.org/officeDocument/2006/relationships/worksheet" Target="/xl/worksheets/sheet3.xml" Id="R4cf5af0137e247f5" /><Relationship Type="http://schemas.openxmlformats.org/officeDocument/2006/relationships/worksheet" Target="/xl/worksheets/sheet4.xml" Id="R85284d45450740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6f0e8a050d4a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Features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6f0e8a050d4a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f0c0a683044cc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0" hidden="0" customWidth="1"/>
    <x:col min="5" max="5" width="12" hidden="0" customWidth="1"/>
  </x:cols>
  <x:sheetData>
    <x:row r="1">
      <x:c r="A1" s="5" t="str">
        <x:v>MII Version &amp; Feature Dashboard</x:v>
      </x:c>
      <x:c r="B1" s="5"/>
      <x:c r="C1" s="5"/>
      <x:c r="D1" s="5"/>
      <x:c r="E1" s="5"/>
      <x:c r="F1" s="5"/>
      <x:c r="G1" s="5"/>
      <x:c r="H1" s="5"/>
    </x:row>
    <x:row r="3">
      <x:c r="A3" s="41" t="str">
        <x:v>Current Stable Version</x:v>
      </x:c>
      <x:c r="B3" s="45" t="str">
        <x:v>v1.0.0</x:v>
      </x:c>
      <x:c r="D3" s="21" t="str">
        <x:v>Status</x:v>
      </x:c>
      <x:c r="E3" s="23" t="str">
        <x:v>Count</x:v>
      </x:c>
    </x:row>
    <x:row r="4">
      <x:c r="A4" s="41" t="str">
        <x:v>Next Release</x:v>
      </x:c>
      <x:c r="B4" s="45" t="str">
        <x:v>v1.1.0</x:v>
      </x:c>
      <x:c r="D4" t="str">
        <x:v>Implemented</x:v>
      </x:c>
      <x:c r="E4" t="n">
        <x:f>COUNTIF(Features!$F$4:$F$29,D4)</x:f>
        <x:v>8</x:v>
      </x:c>
    </x:row>
    <x:row r="5">
      <x:c r="A5" s="41" t="str">
        <x:v>Total Features</x:v>
      </x:c>
      <x:c r="B5" s="45" t="n">
        <x:f>COUNTA(Features!$A$4:$A$29)</x:f>
        <x:v>26</x:v>
      </x:c>
      <x:c r="D5" t="str">
        <x:v>In Progress</x:v>
      </x:c>
      <x:c r="E5" t="n">
        <x:f>COUNTIF(Features!$F$4:$F$29,D5)</x:f>
        <x:v>3</x:v>
      </x:c>
    </x:row>
    <x:row r="6">
      <x:c r="A6" s="41" t="str">
        <x:v>Implemented</x:v>
      </x:c>
      <x:c r="B6" s="45" t="n">
        <x:f>COUNTIF(Features!$F$4:$F$29,"Implemented")</x:f>
        <x:v>8</x:v>
      </x:c>
      <x:c r="D6" t="str">
        <x:v>Testing</x:v>
      </x:c>
      <x:c r="E6" t="n">
        <x:f>COUNTIF(Features!$F$4:$F$29,D6)</x:f>
        <x:v>0</x:v>
      </x:c>
    </x:row>
    <x:row r="7">
      <x:c r="A7" s="41" t="str">
        <x:v>In Progress / Testing</x:v>
      </x:c>
      <x:c r="B7" s="45" t="n">
        <x:f>COUNTIF(Features!$F$4:$F$29,"In Progress")+COUNTIF(Features!$F$4:$F$29,"Testing")</x:f>
        <x:v>3</x:v>
      </x:c>
      <x:c r="D7" t="str">
        <x:v>Planned</x:v>
      </x:c>
      <x:c r="E7" t="n">
        <x:f>COUNTIF(Features!$F$4:$F$29,D7)</x:f>
        <x:v>15</x:v>
      </x:c>
    </x:row>
    <x:row r="8">
      <x:c r="A8" s="41" t="str">
        <x:v>Planned / Backlog</x:v>
      </x:c>
      <x:c r="B8" s="45" t="n">
        <x:f>COUNTIF(Features!$F$4:$F$29,"Planned")+COUNTIF(Features!$F$4:$F$29,"Backlog")</x:f>
        <x:v>15</x:v>
      </x:c>
      <x:c r="D8" t="str">
        <x:v>Backlog</x:v>
      </x:c>
      <x:c r="E8" t="n">
        <x:f>COUNTIF(Features!$F$4:$F$29,D8)</x:f>
        <x:v>0</x:v>
      </x:c>
    </x:row>
    <x:row r="9">
      <x:c r="D9" t="str">
        <x:v>Deferred</x:v>
      </x:c>
      <x:c r="E9" t="n">
        <x:f>COUNTIF(Features!$F$4:$F$29,D9)</x:f>
        <x:v>0</x:v>
      </x:c>
    </x:row>
    <x:row r="11">
      <x:c r="A11" s="50" t="str">
        <x:v>Release rule: deploy, verify, back up, update CHANGELOG, then create the matching Git tag.</x:v>
      </x:c>
      <x:c r="B11" s="50"/>
      <x:c r="C11" s="50"/>
      <x:c r="D11" s="50"/>
      <x:c r="E11" s="50"/>
      <x:c r="F11" s="50"/>
      <x:c r="G11" s="50"/>
      <x:c r="H11" s="50"/>
    </x:row>
  </x:sheetData>
  <x:mergeCells>
    <x:mergeCell ref="A1:H1"/>
    <x:mergeCell ref="A11:H11"/>
  </x:mergeCells>
  <x:pageMargins left="0.7" right="0.7" top="0.75" bottom="0.75" header="0.3" footer="0.3"/>
  <x:drawing xmlns:r="http://schemas.openxmlformats.org/officeDocument/2006/relationships" r:id="Ra7f0c0a683044cc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5" hidden="0" customWidth="1"/>
    <x:col min="4" max="4" width="18" hidden="0" customWidth="1"/>
    <x:col min="5" max="5" width="34" hidden="0" customWidth="1"/>
    <x:col min="6" max="6" width="58" hidden="0" customWidth="1"/>
    <x:col min="7" max="7" width="35" hidden="0" customWidth="1"/>
    <x:col min="8" max="8" width="16" hidden="0" customWidth="1"/>
  </x:cols>
  <x:sheetData>
    <x:row r="1">
      <x:c r="A1" s="5" t="str">
        <x:v>MII Release Plan</x:v>
      </x:c>
      <x:c r="B1" s="5"/>
      <x:c r="C1" s="5"/>
      <x:c r="D1" s="5"/>
      <x:c r="E1" s="5"/>
      <x:c r="F1" s="5"/>
      <x:c r="G1" s="5"/>
      <x:c r="H1" s="5"/>
    </x:row>
    <x:row r="3">
      <x:c r="A3" s="21" t="str">
        <x:v>Version</x:v>
      </x:c>
      <x:c r="B3" s="22" t="str">
        <x:v>Release Name</x:v>
      </x:c>
      <x:c r="C3" s="22" t="str">
        <x:v>Status</x:v>
      </x:c>
      <x:c r="D3" s="22" t="str">
        <x:v>Release Window</x:v>
      </x:c>
      <x:c r="E3" s="22" t="str">
        <x:v>Objective</x:v>
      </x:c>
      <x:c r="F3" s="22" t="str">
        <x:v>Included Scope</x:v>
      </x:c>
      <x:c r="G3" s="22" t="str">
        <x:v>Dependencies</x:v>
      </x:c>
      <x:c r="H3" s="23" t="str">
        <x:v>Released Date</x:v>
      </x:c>
    </x:row>
    <x:row r="4">
      <x:c r="A4" s="38" t="str">
        <x:v>v1.0.0</x:v>
      </x:c>
      <x:c r="B4" s="38" t="str">
        <x:v>Stable Baseline</x:v>
      </x:c>
      <x:c r="C4" s="38" t="str">
        <x:v>Released</x:v>
      </x:c>
      <x:c r="D4" s="38" t="str">
        <x:v>Production</x:v>
      </x:c>
      <x:c r="E4" s="38" t="str">
        <x:v>Core CRM and fleet operations</x:v>
      </x:c>
      <x:c r="F4" s="38" t="str">
        <x:v>Authentication, roles, CRUD modules, S3 vessel photos, responsive UI</x:v>
      </x:c>
      <x:c r="G4" s="38" t="str"/>
      <x:c r="H4" s="38" t="str">
        <x:v>2026-07-26</x:v>
      </x:c>
    </x:row>
    <x:row r="5">
      <x:c r="A5" s="38" t="str">
        <x:v>v1.1.0</x:v>
      </x:c>
      <x:c r="B5" s="38" t="str">
        <x:v>Reporting &amp; Versioning</x:v>
      </x:c>
      <x:c r="C5" s="38" t="str">
        <x:v>In Progress</x:v>
      </x:c>
      <x:c r="D5" s="38" t="str">
        <x:v>Next deployment</x:v>
      </x:c>
      <x:c r="E5" s="38" t="str">
        <x:v>Daily visibility and release control</x:v>
      </x:c>
      <x:c r="F5" s="38" t="str">
        <x:v>Daily activity email, version display, roadmap, changelog, release process</x:v>
      </x:c>
      <x:c r="G5" s="38" t="str">
        <x:v>Google Workspace SMTP configuration</x:v>
      </x:c>
      <x:c r="H5" s="38" t="str"/>
    </x:row>
    <x:row r="6">
      <x:c r="A6" s="38" t="str">
        <x:v>v1.2.0</x:v>
      </x:c>
      <x:c r="B6" s="38" t="str">
        <x:v>Bulk Data Import</x:v>
      </x:c>
      <x:c r="C6" s="38" t="str">
        <x:v>Planned</x:v>
      </x:c>
      <x:c r="D6" s="38" t="str">
        <x:v>After v1.1.0</x:v>
      </x:c>
      <x:c r="E6" s="38" t="str">
        <x:v>Controlled initial data loading</x:v>
      </x:c>
      <x:c r="F6" s="38" t="str">
        <x:v>Excel import for customers, vessels and engines with validation and dry run</x:v>
      </x:c>
      <x:c r="G6" s="38" t="str">
        <x:v>Final import mapping and live schema verification</x:v>
      </x:c>
      <x:c r="H6" s="38" t="str"/>
    </x:row>
    <x:row r="7">
      <x:c r="A7" s="38" t="str">
        <x:v>v1.3.0</x:v>
      </x:c>
      <x:c r="B7" s="38" t="str">
        <x:v>Customer Account Foundation</x:v>
      </x:c>
      <x:c r="C7" s="38" t="str">
        <x:v>Planned</x:v>
      </x:c>
      <x:c r="D7" s="38" t="str">
        <x:v>After v1.2.0</x:v>
      </x:c>
      <x:c r="E7" s="38" t="str">
        <x:v>Normalize customer and contact structure</x:v>
      </x:c>
      <x:c r="F7" s="38" t="str">
        <x:v>Customer account, multiple PIC contacts, lead source and Administration master data</x:v>
      </x:c>
      <x:c r="G7" s="38" t="str">
        <x:v>Database migration and backward-compatible UI</x:v>
      </x:c>
      <x:c r="H7" s="38" t="str"/>
    </x:row>
    <x:row r="8">
      <x:c r="A8" s="38" t="str">
        <x:v>v1.4.0</x:v>
      </x:c>
      <x:c r="B8" s="38" t="str">
        <x:v>Customer Interactions</x:v>
      </x:c>
      <x:c r="C8" s="38" t="str">
        <x:v>Planned</x:v>
      </x:c>
      <x:c r="D8" s="38" t="str">
        <x:v>After v1.3.0</x:v>
      </x:c>
      <x:c r="E8" s="38" t="str">
        <x:v>Complete customer engagement history</x:v>
      </x:c>
      <x:c r="F8" s="38" t="str">
        <x:v>Interaction timeline, meeting notes, photos, next actions and follow-up dates</x:v>
      </x:c>
      <x:c r="G8" s="38" t="str">
        <x:v>Customer/PIC model and S3 attachment pattern</x:v>
      </x:c>
      <x:c r="H8" s="38" t="str"/>
    </x:row>
    <x:row r="9">
      <x:c r="A9" s="38" t="str">
        <x:v>v1.5.0</x:v>
      </x:c>
      <x:c r="B9" s="38" t="str">
        <x:v>Meeting &amp; Visit Scheduling</x:v>
      </x:c>
      <x:c r="C9" s="38" t="str">
        <x:v>Planned</x:v>
      </x:c>
      <x:c r="D9" s="38" t="str">
        <x:v>After v1.4.0</x:v>
      </x:c>
      <x:c r="E9" s="38" t="str">
        <x:v>Plan and remind daily customer activity</x:v>
      </x:c>
      <x:c r="F9" s="38" t="str">
        <x:v>Meeting scheduling, visit agenda, reminders, status and interaction conversion</x:v>
      </x:c>
      <x:c r="G9" s="38" t="str">
        <x:v>Customer interactions module</x:v>
      </x:c>
      <x:c r="H9" s="38" t="str"/>
    </x:row>
    <x:row r="10">
      <x:c r="A10" s="38" t="str">
        <x:v>v1.6.0</x:v>
      </x:c>
      <x:c r="B10" s="38" t="str">
        <x:v>Audit &amp; Reporting Enhancements</x:v>
      </x:c>
      <x:c r="C10" s="38" t="str">
        <x:v>Planned</x:v>
      </x:c>
      <x:c r="D10" s="38" t="str">
        <x:v>After v1.5.0</x:v>
      </x:c>
      <x:c r="E10" s="38" t="str">
        <x:v>Improve accountability and management reporting</x:v>
      </x:c>
      <x:c r="F10" s="38" t="str">
        <x:v>created_by/updated_by audit trail and user attribution in daily reports</x:v>
      </x:c>
      <x:c r="G10" s="38" t="str">
        <x:v>User audit fields across operational tables</x:v>
      </x:c>
      <x:c r="H10" s="38" t="str"/>
    </x:row>
  </x:sheetData>
  <x:mergeCells>
    <x:mergeCell ref="A1:H1"/>
  </x:mergeCells>
  <x:conditionalFormatting sqref="C4:C10">
    <x:cfRule type="expression" dxfId="0" priority="1">
      <x:formula>C4="Released"</x:formula>
    </x:cfRule>
    <x:cfRule type="expression" dxfId="1" priority="2">
      <x:formula>C4="In Progress"</x:formula>
    </x:cfRule>
    <x:cfRule type="expression" dxfId="2" priority="3">
      <x:formula>OR(C4="Planned",C4="Backlog")</x:formula>
    </x:cfRule>
  </x:conditionalFormatting>
  <x:dataValidations count="1">
    <x:dataValidation type="list" sqref="C4:C10">
      <x:formula1>"Backlog,Planned,In Progress,Testing,Released,Deferred"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5" hidden="0" customWidth="1"/>
    <x:col min="3" max="3" width="20" hidden="0" customWidth="1"/>
    <x:col min="4" max="4" width="15" hidden="0" customWidth="1"/>
    <x:col min="5" max="5" width="12" hidden="0" customWidth="1"/>
    <x:col min="6" max="6" width="16" hidden="0" customWidth="1"/>
    <x:col min="7" max="7" width="55" hidden="0" customWidth="1"/>
    <x:col min="8" max="8" width="25" hidden="0" customWidth="1"/>
    <x:col min="9" max="9" width="35" hidden="0" customWidth="1"/>
  </x:cols>
  <x:sheetData>
    <x:row r="1">
      <x:c r="A1" s="5" t="str">
        <x:v>MII Feature Backlog and Implementation Tracker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21" t="str">
        <x:v>Feature ID</x:v>
      </x:c>
      <x:c r="B3" s="22" t="str">
        <x:v>Feature</x:v>
      </x:c>
      <x:c r="C3" s="22" t="str">
        <x:v>Module</x:v>
      </x:c>
      <x:c r="D3" s="22" t="str">
        <x:v>Target Version</x:v>
      </x:c>
      <x:c r="E3" s="22" t="str">
        <x:v>Priority</x:v>
      </x:c>
      <x:c r="F3" s="22" t="str">
        <x:v>Status</x:v>
      </x:c>
      <x:c r="G3" s="22" t="str">
        <x:v>Definition of Done</x:v>
      </x:c>
      <x:c r="H3" s="22" t="str">
        <x:v>Dependencies</x:v>
      </x:c>
      <x:c r="I3" s="23" t="str">
        <x:v>Notes</x:v>
      </x:c>
    </x:row>
    <x:row r="4">
      <x:c r="A4" s="38" t="str">
        <x:v>F-001</x:v>
      </x:c>
      <x:c r="B4" s="38" t="str">
        <x:v>Authentication and protected routes</x:v>
      </x:c>
      <x:c r="C4" s="38" t="str">
        <x:v>Platform</x:v>
      </x:c>
      <x:c r="D4" s="38" t="str">
        <x:v>v1.0.0</x:v>
      </x:c>
      <x:c r="E4" s="38" t="str">
        <x:v>Critical</x:v>
      </x:c>
      <x:c r="F4" s="38" t="str">
        <x:v>Implemented</x:v>
      </x:c>
      <x:c r="G4" s="38" t="str">
        <x:v>Secure login and protected API/UI routes</x:v>
      </x:c>
      <x:c r="H4" s="38" t="str"/>
      <x:c r="I4" s="38" t="str">
        <x:v>Stable baseline</x:v>
      </x:c>
    </x:row>
    <x:row r="5">
      <x:c r="A5" s="38" t="str">
        <x:v>F-002</x:v>
      </x:c>
      <x:c r="B5" s="38" t="str">
        <x:v>Role-based permissions</x:v>
      </x:c>
      <x:c r="C5" s="38" t="str">
        <x:v>Administration</x:v>
      </x:c>
      <x:c r="D5" s="38" t="str">
        <x:v>v1.0.0</x:v>
      </x:c>
      <x:c r="E5" s="38" t="str">
        <x:v>Critical</x:v>
      </x:c>
      <x:c r="F5" s="38" t="str">
        <x:v>Implemented</x:v>
      </x:c>
      <x:c r="G5" s="38" t="str">
        <x:v>Admin, manager, sales, technician and viewer permissions</x:v>
      </x:c>
      <x:c r="H5" s="38" t="str">
        <x:v>F-001</x:v>
      </x:c>
      <x:c r="I5" s="38" t="str"/>
    </x:row>
    <x:row r="6">
      <x:c r="A6" s="38" t="str">
        <x:v>F-003</x:v>
      </x:c>
      <x:c r="B6" s="38" t="str">
        <x:v>Customers module</x:v>
      </x:c>
      <x:c r="C6" s="38" t="str">
        <x:v>Customers</x:v>
      </x:c>
      <x:c r="D6" s="38" t="str">
        <x:v>v1.0.0</x:v>
      </x:c>
      <x:c r="E6" s="38" t="str">
        <x:v>Critical</x:v>
      </x:c>
      <x:c r="F6" s="38" t="str">
        <x:v>Implemented</x:v>
      </x:c>
      <x:c r="G6" s="38" t="str">
        <x:v>Create, view, edit, search, sort and paginate customers</x:v>
      </x:c>
      <x:c r="H6" s="38" t="str">
        <x:v>F-001</x:v>
      </x:c>
      <x:c r="I6" s="38" t="str"/>
    </x:row>
    <x:row r="7">
      <x:c r="A7" s="38" t="str">
        <x:v>F-004</x:v>
      </x:c>
      <x:c r="B7" s="38" t="str">
        <x:v>Vessels module</x:v>
      </x:c>
      <x:c r="C7" s="38" t="str">
        <x:v>Vessels</x:v>
      </x:c>
      <x:c r="D7" s="38" t="str">
        <x:v>v1.0.0</x:v>
      </x:c>
      <x:c r="E7" s="38" t="str">
        <x:v>Critical</x:v>
      </x:c>
      <x:c r="F7" s="38" t="str">
        <x:v>Implemented</x:v>
      </x:c>
      <x:c r="G7" s="38" t="str">
        <x:v>Create, view, edit and link vessels to customers</x:v>
      </x:c>
      <x:c r="H7" s="38" t="str">
        <x:v>F-003</x:v>
      </x:c>
      <x:c r="I7" s="38" t="str"/>
    </x:row>
    <x:row r="8">
      <x:c r="A8" s="38" t="str">
        <x:v>F-005</x:v>
      </x:c>
      <x:c r="B8" s="38" t="str">
        <x:v>Engines module</x:v>
      </x:c>
      <x:c r="C8" s="38" t="str">
        <x:v>Engines</x:v>
      </x:c>
      <x:c r="D8" s="38" t="str">
        <x:v>v1.0.0</x:v>
      </x:c>
      <x:c r="E8" s="38" t="str">
        <x:v>Critical</x:v>
      </x:c>
      <x:c r="F8" s="38" t="str">
        <x:v>Implemented</x:v>
      </x:c>
      <x:c r="G8" s="38" t="str">
        <x:v>Create, view, edit and link engines to vessels</x:v>
      </x:c>
      <x:c r="H8" s="38" t="str">
        <x:v>F-004</x:v>
      </x:c>
      <x:c r="I8" s="38" t="str"/>
    </x:row>
    <x:row r="9">
      <x:c r="A9" s="38" t="str">
        <x:v>F-006</x:v>
      </x:c>
      <x:c r="B9" s="38" t="str">
        <x:v>Trips module</x:v>
      </x:c>
      <x:c r="C9" s="38" t="str">
        <x:v>Trips</x:v>
      </x:c>
      <x:c r="D9" s="38" t="str">
        <x:v>v1.0.0</x:v>
      </x:c>
      <x:c r="E9" s="38" t="str">
        <x:v>High</x:v>
      </x:c>
      <x:c r="F9" s="38" t="str">
        <x:v>Implemented</x:v>
      </x:c>
      <x:c r="G9" s="38" t="str">
        <x:v>Record and review vessel trips</x:v>
      </x:c>
      <x:c r="H9" s="38" t="str">
        <x:v>F-004</x:v>
      </x:c>
      <x:c r="I9" s="38" t="str"/>
    </x:row>
    <x:row r="10">
      <x:c r="A10" s="38" t="str">
        <x:v>F-007</x:v>
      </x:c>
      <x:c r="B10" s="38" t="str">
        <x:v>Maintenance module</x:v>
      </x:c>
      <x:c r="C10" s="38" t="str">
        <x:v>Maintenance</x:v>
      </x:c>
      <x:c r="D10" s="38" t="str">
        <x:v>v1.0.0</x:v>
      </x:c>
      <x:c r="E10" s="38" t="str">
        <x:v>High</x:v>
      </x:c>
      <x:c r="F10" s="38" t="str">
        <x:v>Implemented</x:v>
      </x:c>
      <x:c r="G10" s="38" t="str">
        <x:v>Record and review engine maintenance</x:v>
      </x:c>
      <x:c r="H10" s="38" t="str">
        <x:v>F-005</x:v>
      </x:c>
      <x:c r="I10" s="38" t="str"/>
    </x:row>
    <x:row r="11">
      <x:c r="A11" s="38" t="str">
        <x:v>F-008</x:v>
      </x:c>
      <x:c r="B11" s="38" t="str">
        <x:v>S3 vessel photos with compression</x:v>
      </x:c>
      <x:c r="C11" s="38" t="str">
        <x:v>Vessels</x:v>
      </x:c>
      <x:c r="D11" s="38" t="str">
        <x:v>v1.0.0</x:v>
      </x:c>
      <x:c r="E11" s="38" t="str">
        <x:v>High</x:v>
      </x:c>
      <x:c r="F11" s="38" t="str">
        <x:v>Implemented</x:v>
      </x:c>
      <x:c r="G11" s="38" t="str">
        <x:v>Private S3 upload and signed image access, compressed below 1 MB</x:v>
      </x:c>
      <x:c r="H11" s="38" t="str">
        <x:v>F-004</x:v>
      </x:c>
      <x:c r="I11" s="38" t="str"/>
    </x:row>
    <x:row r="12">
      <x:c r="A12" s="38" t="str">
        <x:v>F-009</x:v>
      </x:c>
      <x:c r="B12" s="38" t="str">
        <x:v>Daily end-of-day activity email</x:v>
      </x:c>
      <x:c r="C12" s="38" t="str">
        <x:v>Reporting</x:v>
      </x:c>
      <x:c r="D12" s="38" t="str">
        <x:v>v1.1.0</x:v>
      </x:c>
      <x:c r="E12" s="38" t="str">
        <x:v>High</x:v>
      </x:c>
      <x:c r="F12" s="38" t="str">
        <x:v>In Progress</x:v>
      </x:c>
      <x:c r="G12" s="38" t="str">
        <x:v>Email all new customers, vessels, engines, trips and maintenance added that day</x:v>
      </x:c>
      <x:c r="H12" s="38" t="str">
        <x:v>Google Workspace SMTP</x:v>
      </x:c>
      <x:c r="I12" s="38" t="str">
        <x:v>Recipient: erwin@ptkba.com</x:v>
      </x:c>
    </x:row>
    <x:row r="13">
      <x:c r="A13" s="38" t="str">
        <x:v>F-010</x:v>
      </x:c>
      <x:c r="B13" s="38" t="str">
        <x:v>Visible application version</x:v>
      </x:c>
      <x:c r="C13" s="38" t="str">
        <x:v>Platform</x:v>
      </x:c>
      <x:c r="D13" s="38" t="str">
        <x:v>v1.1.0</x:v>
      </x:c>
      <x:c r="E13" s="38" t="str">
        <x:v>High</x:v>
      </x:c>
      <x:c r="F13" s="38" t="str">
        <x:v>In Progress</x:v>
      </x:c>
      <x:c r="G13" s="38" t="str">
        <x:v>Show version on login page and left navigation</x:v>
      </x:c>
      <x:c r="H13" s="38" t="str"/>
      <x:c r="I13" s="38" t="str">
        <x:v>Version sourced from frontend package.json</x:v>
      </x:c>
    </x:row>
    <x:row r="14">
      <x:c r="A14" s="38" t="str">
        <x:v>F-011</x:v>
      </x:c>
      <x:c r="B14" s="38" t="str">
        <x:v>Feature roadmap and changelog</x:v>
      </x:c>
      <x:c r="C14" s="38" t="str">
        <x:v>Administration</x:v>
      </x:c>
      <x:c r="D14" s="38" t="str">
        <x:v>v1.1.0</x:v>
      </x:c>
      <x:c r="E14" s="38" t="str">
        <x:v>High</x:v>
      </x:c>
      <x:c r="F14" s="38" t="str">
        <x:v>In Progress</x:v>
      </x:c>
      <x:c r="G14" s="38" t="str">
        <x:v>Track target version, status, dependencies and release history</x:v>
      </x:c>
      <x:c r="H14" s="38" t="str"/>
      <x:c r="I14" s="38" t="str"/>
    </x:row>
    <x:row r="15">
      <x:c r="A15" s="38" t="str">
        <x:v>F-012</x:v>
      </x:c>
      <x:c r="B15" s="38" t="str">
        <x:v>Excel bulk import: customers</x:v>
      </x:c>
      <x:c r="C15" s="38" t="str">
        <x:v>Data Import</x:v>
      </x:c>
      <x:c r="D15" s="38" t="str">
        <x:v>v1.2.0</x:v>
      </x:c>
      <x:c r="E15" s="38" t="str">
        <x:v>High</x:v>
      </x:c>
      <x:c r="F15" s="38" t="str">
        <x:v>Planned</x:v>
      </x:c>
      <x:c r="G15" s="38" t="str">
        <x:v>Validate and import only supported customer fields</x:v>
      </x:c>
      <x:c r="H15" s="38" t="str">
        <x:v>F-003</x:v>
      </x:c>
      <x:c r="I15" s="38" t="str"/>
    </x:row>
    <x:row r="16">
      <x:c r="A16" s="38" t="str">
        <x:v>F-013</x:v>
      </x:c>
      <x:c r="B16" s="38" t="str">
        <x:v>Excel bulk import: vessels</x:v>
      </x:c>
      <x:c r="C16" s="38" t="str">
        <x:v>Data Import</x:v>
      </x:c>
      <x:c r="D16" s="38" t="str">
        <x:v>v1.2.0</x:v>
      </x:c>
      <x:c r="E16" s="38" t="str">
        <x:v>High</x:v>
      </x:c>
      <x:c r="F16" s="38" t="str">
        <x:v>Planned</x:v>
      </x:c>
      <x:c r="G16" s="38" t="str">
        <x:v>Validate customer links and import only vessel fields</x:v>
      </x:c>
      <x:c r="H16" s="38" t="str">
        <x:v>F-012</x:v>
      </x:c>
      <x:c r="I16" s="38" t="str"/>
    </x:row>
    <x:row r="17">
      <x:c r="A17" s="38" t="str">
        <x:v>F-014</x:v>
      </x:c>
      <x:c r="B17" s="38" t="str">
        <x:v>Excel bulk import: engines</x:v>
      </x:c>
      <x:c r="C17" s="38" t="str">
        <x:v>Data Import</x:v>
      </x:c>
      <x:c r="D17" s="38" t="str">
        <x:v>v1.2.0</x:v>
      </x:c>
      <x:c r="E17" s="38" t="str">
        <x:v>High</x:v>
      </x:c>
      <x:c r="F17" s="38" t="str">
        <x:v>Planned</x:v>
      </x:c>
      <x:c r="G17" s="38" t="str">
        <x:v>Validate vessel links, brand, HP and quantity</x:v>
      </x:c>
      <x:c r="H17" s="38" t="str">
        <x:v>F-013</x:v>
      </x:c>
      <x:c r="I17" s="38" t="str"/>
    </x:row>
    <x:row r="18">
      <x:c r="A18" s="38" t="str">
        <x:v>F-015</x:v>
      </x:c>
      <x:c r="B18" s="38" t="str">
        <x:v>Import dry run and error report</x:v>
      </x:c>
      <x:c r="C18" s="38" t="str">
        <x:v>Data Import</x:v>
      </x:c>
      <x:c r="D18" s="38" t="str">
        <x:v>v1.2.0</x:v>
      </x:c>
      <x:c r="E18" s="38" t="str">
        <x:v>High</x:v>
      </x:c>
      <x:c r="F18" s="38" t="str">
        <x:v>Planned</x:v>
      </x:c>
      <x:c r="G18" s="38" t="str">
        <x:v>Show rows accepted, rejected and reasons before commit</x:v>
      </x:c>
      <x:c r="H18" s="38" t="str">
        <x:v>F-012,F-013,F-014</x:v>
      </x:c>
      <x:c r="I18" s="38" t="str"/>
    </x:row>
    <x:row r="19">
      <x:c r="A19" s="38" t="str">
        <x:v>F-016</x:v>
      </x:c>
      <x:c r="B19" s="38" t="str">
        <x:v>Customer account and PIC contacts</x:v>
      </x:c>
      <x:c r="C19" s="38" t="str">
        <x:v>Customers</x:v>
      </x:c>
      <x:c r="D19" s="38" t="str">
        <x:v>v1.3.0</x:v>
      </x:c>
      <x:c r="E19" s="38" t="str">
        <x:v>Critical</x:v>
      </x:c>
      <x:c r="F19" s="38" t="str">
        <x:v>Planned</x:v>
      </x:c>
      <x:c r="G19" s="38" t="str">
        <x:v>Support multiple contacts per corporate customer and one contact for individuals</x:v>
      </x:c>
      <x:c r="H19" s="38" t="str">
        <x:v>F-003</x:v>
      </x:c>
      <x:c r="I19" s="38" t="str">
        <x:v>Structural prerequisite</x:v>
      </x:c>
    </x:row>
    <x:row r="20">
      <x:c r="A20" s="38" t="str">
        <x:v>F-017</x:v>
      </x:c>
      <x:c r="B20" s="38" t="str">
        <x:v>Lead source field</x:v>
      </x:c>
      <x:c r="C20" s="38" t="str">
        <x:v>Customers</x:v>
      </x:c>
      <x:c r="D20" s="38" t="str">
        <x:v>v1.3.0</x:v>
      </x:c>
      <x:c r="E20" s="38" t="str">
        <x:v>Medium</x:v>
      </x:c>
      <x:c r="F20" s="38" t="str">
        <x:v>Planned</x:v>
      </x:c>
      <x:c r="G20" s="38" t="str">
        <x:v>Customer lead source selected from Administration master data</x:v>
      </x:c>
      <x:c r="H20" s="38" t="str">
        <x:v>F-018</x:v>
      </x:c>
      <x:c r="I20" s="38" t="str"/>
    </x:row>
    <x:row r="21">
      <x:c r="A21" s="38" t="str">
        <x:v>F-018</x:v>
      </x:c>
      <x:c r="B21" s="38" t="str">
        <x:v>Administration master data</x:v>
      </x:c>
      <x:c r="C21" s="38" t="str">
        <x:v>Administration</x:v>
      </x:c>
      <x:c r="D21" s="38" t="str">
        <x:v>v1.3.0</x:v>
      </x:c>
      <x:c r="E21" s="38" t="str">
        <x:v>Critical</x:v>
      </x:c>
      <x:c r="F21" s="38" t="str">
        <x:v>Planned</x:v>
      </x:c>
      <x:c r="G21" s="38" t="str">
        <x:v>Add, rename, activate, deactivate and reorder dropdown values</x:v>
      </x:c>
      <x:c r="H21" s="38" t="str">
        <x:v>F-002</x:v>
      </x:c>
      <x:c r="I21" s="38" t="str">
        <x:v>All configurable dropdowns use master data</x:v>
      </x:c>
    </x:row>
    <x:row r="22">
      <x:c r="A22" s="38" t="str">
        <x:v>F-019</x:v>
      </x:c>
      <x:c r="B22" s="38" t="str">
        <x:v>Customer interaction timeline</x:v>
      </x:c>
      <x:c r="C22" s="38" t="str">
        <x:v>Customers</x:v>
      </x:c>
      <x:c r="D22" s="38" t="str">
        <x:v>v1.4.0</x:v>
      </x:c>
      <x:c r="E22" s="38" t="str">
        <x:v>High</x:v>
      </x:c>
      <x:c r="F22" s="38" t="str">
        <x:v>Planned</x:v>
      </x:c>
      <x:c r="G22" s="38" t="str">
        <x:v>Chronological history linked to customer and PIC</x:v>
      </x:c>
      <x:c r="H22" s="38" t="str">
        <x:v>F-016</x:v>
      </x:c>
      <x:c r="I22" s="38" t="str"/>
    </x:row>
    <x:row r="23">
      <x:c r="A23" s="38" t="str">
        <x:v>F-020</x:v>
      </x:c>
      <x:c r="B23" s="38" t="str">
        <x:v>Interaction notes and meeting photos</x:v>
      </x:c>
      <x:c r="C23" s="38" t="str">
        <x:v>Customers</x:v>
      </x:c>
      <x:c r="D23" s="38" t="str">
        <x:v>v1.4.0</x:v>
      </x:c>
      <x:c r="E23" s="38" t="str">
        <x:v>High</x:v>
      </x:c>
      <x:c r="F23" s="38" t="str">
        <x:v>Planned</x:v>
      </x:c>
      <x:c r="G23" s="38" t="str">
        <x:v>Meeting notes and multiple S3 photo attachments</x:v>
      </x:c>
      <x:c r="H23" s="38" t="str">
        <x:v>F-019,F-008</x:v>
      </x:c>
      <x:c r="I23" s="38" t="str"/>
    </x:row>
    <x:row r="24">
      <x:c r="A24" s="38" t="str">
        <x:v>F-021</x:v>
      </x:c>
      <x:c r="B24" s="38" t="str">
        <x:v>Next action and follow-up date</x:v>
      </x:c>
      <x:c r="C24" s="38" t="str">
        <x:v>Customers</x:v>
      </x:c>
      <x:c r="D24" s="38" t="str">
        <x:v>v1.4.0</x:v>
      </x:c>
      <x:c r="E24" s="38" t="str">
        <x:v>High</x:v>
      </x:c>
      <x:c r="F24" s="38" t="str">
        <x:v>Planned</x:v>
      </x:c>
      <x:c r="G24" s="38" t="str">
        <x:v>Track follow-up action and due date from each interaction</x:v>
      </x:c>
      <x:c r="H24" s="38" t="str">
        <x:v>F-019</x:v>
      </x:c>
      <x:c r="I24" s="38" t="str"/>
    </x:row>
    <x:row r="25">
      <x:c r="A25" s="38" t="str">
        <x:v>F-022</x:v>
      </x:c>
      <x:c r="B25" s="38" t="str">
        <x:v>Customer meeting and visit scheduling</x:v>
      </x:c>
      <x:c r="C25" s="38" t="str">
        <x:v>Scheduling</x:v>
      </x:c>
      <x:c r="D25" s="38" t="str">
        <x:v>v1.5.0</x:v>
      </x:c>
      <x:c r="E25" s="38" t="str">
        <x:v>High</x:v>
      </x:c>
      <x:c r="F25" s="38" t="str">
        <x:v>Planned</x:v>
      </x:c>
      <x:c r="G25" s="38" t="str">
        <x:v>Schedule date, time, place, purpose, attendees and owner</x:v>
      </x:c>
      <x:c r="H25" s="38" t="str">
        <x:v>F-016</x:v>
      </x:c>
      <x:c r="I25" s="38" t="str"/>
    </x:row>
    <x:row r="26">
      <x:c r="A26" s="38" t="str">
        <x:v>F-023</x:v>
      </x:c>
      <x:c r="B26" s="38" t="str">
        <x:v>Daily visit agenda and reminders</x:v>
      </x:c>
      <x:c r="C26" s="38" t="str">
        <x:v>Scheduling</x:v>
      </x:c>
      <x:c r="D26" s="38" t="str">
        <x:v>v1.5.0</x:v>
      </x:c>
      <x:c r="E26" s="38" t="str">
        <x:v>High</x:v>
      </x:c>
      <x:c r="F26" s="38" t="str">
        <x:v>Planned</x:v>
      </x:c>
      <x:c r="G26" s="38" t="str">
        <x:v>Show today's, overdue and upcoming visits for each user</x:v>
      </x:c>
      <x:c r="H26" s="38" t="str">
        <x:v>F-022</x:v>
      </x:c>
      <x:c r="I26" s="38" t="str"/>
    </x:row>
    <x:row r="27">
      <x:c r="A27" s="38" t="str">
        <x:v>F-024</x:v>
      </x:c>
      <x:c r="B27" s="38" t="str">
        <x:v>Convert completed visit to interaction</x:v>
      </x:c>
      <x:c r="C27" s="38" t="str">
        <x:v>Scheduling</x:v>
      </x:c>
      <x:c r="D27" s="38" t="str">
        <x:v>v1.5.0</x:v>
      </x:c>
      <x:c r="E27" s="38" t="str">
        <x:v>Medium</x:v>
      </x:c>
      <x:c r="F27" s="38" t="str">
        <x:v>Planned</x:v>
      </x:c>
      <x:c r="G27" s="38" t="str">
        <x:v>Transfer meeting details, notes, photos and next action into interaction history</x:v>
      </x:c>
      <x:c r="H27" s="38" t="str">
        <x:v>F-019,F-022</x:v>
      </x:c>
      <x:c r="I27" s="38" t="str"/>
    </x:row>
    <x:row r="28">
      <x:c r="A28" s="38" t="str">
        <x:v>F-025</x:v>
      </x:c>
      <x:c r="B28" s="38" t="str">
        <x:v>created_by and updated_by audit trail</x:v>
      </x:c>
      <x:c r="C28" s="38" t="str">
        <x:v>Platform</x:v>
      </x:c>
      <x:c r="D28" s="38" t="str">
        <x:v>v1.6.0</x:v>
      </x:c>
      <x:c r="E28" s="38" t="str">
        <x:v>High</x:v>
      </x:c>
      <x:c r="F28" s="38" t="str">
        <x:v>Planned</x:v>
      </x:c>
      <x:c r="G28" s="38" t="str">
        <x:v>Record application user responsible for each create/update action</x:v>
      </x:c>
      <x:c r="H28" s="38" t="str">
        <x:v>F-002</x:v>
      </x:c>
      <x:c r="I28" s="38" t="str"/>
    </x:row>
    <x:row r="29">
      <x:c r="A29" s="38" t="str">
        <x:v>F-026</x:v>
      </x:c>
      <x:c r="B29" s="38" t="str">
        <x:v>User attribution in daily email</x:v>
      </x:c>
      <x:c r="C29" s="38" t="str">
        <x:v>Reporting</x:v>
      </x:c>
      <x:c r="D29" s="38" t="str">
        <x:v>v1.6.0</x:v>
      </x:c>
      <x:c r="E29" s="38" t="str">
        <x:v>Medium</x:v>
      </x:c>
      <x:c r="F29" s="38" t="str">
        <x:v>Planned</x:v>
      </x:c>
      <x:c r="G29" s="38" t="str">
        <x:v>Show which user added each item in the daily report</x:v>
      </x:c>
      <x:c r="H29" s="38" t="str">
        <x:v>F-009,F-025</x:v>
      </x:c>
      <x:c r="I29" s="38" t="str"/>
    </x:row>
  </x:sheetData>
  <x:mergeCells>
    <x:mergeCell ref="A1:I1"/>
  </x:mergeCells>
  <x:conditionalFormatting sqref="F4:F29">
    <x:cfRule type="expression" dxfId="3" priority="1">
      <x:formula>F4="Implemented"</x:formula>
    </x:cfRule>
    <x:cfRule type="expression" dxfId="4" priority="2">
      <x:formula>OR(F4="In Progress",F4="Testing")</x:formula>
    </x:cfRule>
    <x:cfRule type="expression" dxfId="5" priority="3">
      <x:formula>OR(F4="Planned",F4="Backlog")</x:formula>
    </x:cfRule>
  </x:conditionalFormatting>
  <x:conditionalFormatting sqref="E4:E29">
    <x:cfRule type="expression" dxfId="6" priority="4">
      <x:formula>E4="Critical"</x:formula>
    </x:cfRule>
  </x:conditionalFormatting>
  <x:dataValidations count="2">
    <x:dataValidation type="list" sqref="E4:E29">
      <x:formula1>"Critical,High,Medium,Low"</x:formula1>
    </x:dataValidation>
    <x:dataValidation type="list" sqref="F4:F29">
      <x:formula1>"Backlog,Planned,In Progress,Testing,Implemented,Deferred"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32" hidden="0" customWidth="1"/>
    <x:col min="5" max="5" width="16" hidden="0" customWidth="1"/>
    <x:col min="6" max="6" width="35" hidden="0" customWidth="1"/>
  </x:cols>
  <x:sheetData>
    <x:row r="1">
      <x:c r="A1" s="5" t="str">
        <x:v>MII Versioning Guide</x:v>
      </x:c>
      <x:c r="B1" s="5"/>
      <x:c r="C1" s="5"/>
      <x:c r="D1" s="5"/>
      <x:c r="E1" s="5"/>
      <x:c r="F1" s="5"/>
    </x:row>
    <x:row r="3">
      <x:c r="A3" s="21" t="str">
        <x:v>Version Part</x:v>
      </x:c>
      <x:c r="B3" s="22" t="str">
        <x:v>When to Change</x:v>
      </x:c>
      <x:c r="C3" s="22" t="str">
        <x:v>Example</x:v>
      </x:c>
      <x:c r="D3" s="22" t="str">
        <x:v>Meaning</x:v>
      </x:c>
      <x:c r="E3" s="22" t="str">
        <x:v>Git Tag</x:v>
      </x:c>
      <x:c r="F3" s="23" t="str">
        <x:v>Required Actions</x:v>
      </x:c>
    </x:row>
    <x:row r="4">
      <x:c r="A4" s="38" t="str">
        <x:v>Major</x:v>
      </x:c>
      <x:c r="B4" s="38" t="str">
        <x:v>Breaking architecture or incompatible data model</x:v>
      </x:c>
      <x:c r="C4" s="38" t="str">
        <x:v>2.0.0</x:v>
      </x:c>
      <x:c r="D4" s="38" t="str">
        <x:v>Major restructuring that may require migration</x:v>
      </x:c>
      <x:c r="E4" s="38" t="str">
        <x:v>v2.0.0</x:v>
      </x:c>
      <x:c r="F4" s="38" t="str">
        <x:v>Migration plan, full regression test, rollback plan</x:v>
      </x:c>
    </x:row>
    <x:row r="5">
      <x:c r="A5" s="38" t="str">
        <x:v>Minor</x:v>
      </x:c>
      <x:c r="B5" s="38" t="str">
        <x:v>Backward-compatible new feature</x:v>
      </x:c>
      <x:c r="C5" s="38" t="str">
        <x:v>1.2.0</x:v>
      </x:c>
      <x:c r="D5" s="38" t="str">
        <x:v>New module or significant feature</x:v>
      </x:c>
      <x:c r="E5" s="38" t="str">
        <x:v>v1.2.0</x:v>
      </x:c>
      <x:c r="F5" s="38" t="str">
        <x:v>Update roadmap, changelog, tests and visible version</x:v>
      </x:c>
    </x:row>
    <x:row r="6">
      <x:c r="A6" s="38" t="str">
        <x:v>Patch</x:v>
      </x:c>
      <x:c r="B6" s="38" t="str">
        <x:v>Bug fix or small safe correction</x:v>
      </x:c>
      <x:c r="C6" s="38" t="str">
        <x:v>1.2.1</x:v>
      </x:c>
      <x:c r="D6" s="38" t="str">
        <x:v>No new major capability</x:v>
      </x:c>
      <x:c r="E6" s="38" t="str">
        <x:v>v1.2.1</x:v>
      </x:c>
      <x:c r="F6" s="38" t="str">
        <x:v>Document fix, verify affected workflow, deploy</x:v>
      </x:c>
    </x:row>
    <x:row r="7">
      <x:c r="A7" s="38"/>
      <x:c r="B7" s="38"/>
      <x:c r="C7" s="38"/>
      <x:c r="D7" s="38"/>
      <x:c r="E7" s="38"/>
      <x:c r="F7" s="38"/>
    </x:row>
    <x:row r="8">
      <x:c r="A8" s="21" t="str">
        <x:v>Release Step</x:v>
      </x:c>
      <x:c r="B8" s="22" t="str">
        <x:v>Action</x:v>
      </x:c>
      <x:c r="C8" s="22" t="str">
        <x:v>Owner</x:v>
      </x:c>
      <x:c r="D8" s="22" t="str">
        <x:v>Evidence</x:v>
      </x:c>
      <x:c r="E8" s="22" t="str">
        <x:v>Status</x:v>
      </x:c>
      <x:c r="F8" s="23" t="str">
        <x:v>Notes</x:v>
      </x:c>
    </x:row>
    <x:row r="9">
      <x:c r="A9" s="38" t="n">
        <x:v>1</x:v>
      </x:c>
      <x:c r="B9" s="38" t="str">
        <x:v>Confirm feature scope and target version</x:v>
      </x:c>
      <x:c r="C9" s="38" t="str"/>
      <x:c r="D9" s="38" t="str">
        <x:v>Roadmap updated</x:v>
      </x:c>
      <x:c r="E9" s="38" t="str">
        <x:v>Required</x:v>
      </x:c>
      <x:c r="F9" s="38" t="str"/>
    </x:row>
    <x:row r="10">
      <x:c r="A10" s="38" t="n">
        <x:v>2</x:v>
      </x:c>
      <x:c r="B10" s="38" t="str">
        <x:v>Create database and frontend backups</x:v>
      </x:c>
      <x:c r="C10" s="38" t="str"/>
      <x:c r="D10" s="38" t="str">
        <x:v>Backup files verified</x:v>
      </x:c>
      <x:c r="E10" s="38" t="str">
        <x:v>Required</x:v>
      </x:c>
      <x:c r="F10" s="38" t="str"/>
    </x:row>
    <x:row r="11">
      <x:c r="A11" s="38" t="n">
        <x:v>3</x:v>
      </x:c>
      <x:c r="B11" s="38" t="str">
        <x:v>Build and test locally</x:v>
      </x:c>
      <x:c r="C11" s="38" t="str"/>
      <x:c r="D11" s="38" t="str">
        <x:v>Build and test output</x:v>
      </x:c>
      <x:c r="E11" s="38" t="str">
        <x:v>Required</x:v>
      </x:c>
      <x:c r="F11" s="38" t="str"/>
    </x:row>
    <x:row r="12">
      <x:c r="A12" s="38" t="n">
        <x:v>4</x:v>
      </x:c>
      <x:c r="B12" s="38" t="str">
        <x:v>Commit and push main</x:v>
      </x:c>
      <x:c r="C12" s="38" t="str"/>
      <x:c r="D12" s="38" t="str">
        <x:v>Git commit hash</x:v>
      </x:c>
      <x:c r="E12" s="38" t="str">
        <x:v>Required</x:v>
      </x:c>
      <x:c r="F12" s="38" t="str"/>
    </x:row>
    <x:row r="13">
      <x:c r="A13" s="38" t="n">
        <x:v>5</x:v>
      </x:c>
      <x:c r="B13" s="38" t="str">
        <x:v>Deploy and run health checks</x:v>
      </x:c>
      <x:c r="C13" s="38" t="str"/>
      <x:c r="D13" s="38" t="str">
        <x:v>API and DB health OK</x:v>
      </x:c>
      <x:c r="E13" s="38" t="str">
        <x:v>Required</x:v>
      </x:c>
      <x:c r="F13" s="38" t="str"/>
    </x:row>
    <x:row r="14">
      <x:c r="A14" s="38" t="n">
        <x:v>6</x:v>
      </x:c>
      <x:c r="B14" s="38" t="str">
        <x:v>Update CHANGELOG and release status</x:v>
      </x:c>
      <x:c r="C14" s="38" t="str"/>
      <x:c r="D14" s="38" t="str">
        <x:v>Documentation committed</x:v>
      </x:c>
      <x:c r="E14" s="38" t="str">
        <x:v>Required</x:v>
      </x:c>
      <x:c r="F14" s="38" t="str"/>
    </x:row>
    <x:row r="15">
      <x:c r="A15" s="38" t="n">
        <x:v>7</x:v>
      </x:c>
      <x:c r="B15" s="38" t="str">
        <x:v>Create and push Git tag</x:v>
      </x:c>
      <x:c r="C15" s="38" t="str"/>
      <x:c r="D15" s="38" t="str">
        <x:v>Tag visible in GitHub</x:v>
      </x:c>
      <x:c r="E15" s="38" t="str">
        <x:v>Required</x:v>
      </x:c>
      <x:c r="F15" s="38" t="str"/>
    </x:row>
  </x:sheetData>
  <x:mergeCells>
    <x:mergeCell ref="A1:F1"/>
  </x:mergeCells>
  <x:pageMargins left="0.7" right="0.7" top="0.75" bottom="0.75" header="0.3" footer="0.3"/>
</x:worksheet>
</file>